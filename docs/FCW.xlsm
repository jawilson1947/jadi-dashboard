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F:\DEV\vba\"/>
    </mc:Choice>
  </mc:AlternateContent>
  <xr:revisionPtr revIDLastSave="0" documentId="13_ncr:1_{A225BAF8-0785-46BD-8F6F-2EFA566710EE}" xr6:coauthVersionLast="47" xr6:coauthVersionMax="47" xr10:uidLastSave="{00000000-0000-0000-0000-000000000000}"/>
  <bookViews>
    <workbookView xWindow="-120" yWindow="-120" windowWidth="15600" windowHeight="11160" xr2:uid="{00000000-000D-0000-FFFF-FFFF00000000}"/>
  </bookViews>
  <sheets>
    <sheet name="fcEdit" sheetId="1" r:id="rId1"/>
    <sheet name="charges" sheetId="7" r:id="rId2"/>
    <sheet name="cnp" sheetId="2" r:id="rId3"/>
  </sheets>
  <definedNames>
    <definedName name="cnp" comment="Scholarship Listbox">cnp!$A$1:$A$36</definedName>
    <definedName name="cnp_d">fcEdit!$B$7:$E$14</definedName>
    <definedName name="finaid">cnp!$A$1:$A$23</definedName>
    <definedName name="Scholarships">cnp!$A$1:$A$36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30" i="1" l="1"/>
  <c r="D24" i="1"/>
  <c r="C20" i="7" l="1"/>
  <c r="I22" i="1" l="1"/>
  <c r="I31" i="1" l="1"/>
  <c r="I29" i="1" l="1"/>
  <c r="I30" i="1"/>
  <c r="D28" i="1"/>
  <c r="D26" i="1"/>
</calcChain>
</file>

<file path=xl/sharedStrings.xml><?xml version="1.0" encoding="utf-8"?>
<sst xmlns="http://schemas.openxmlformats.org/spreadsheetml/2006/main" count="71" uniqueCount="61">
  <si>
    <t>Student ID</t>
  </si>
  <si>
    <t/>
  </si>
  <si>
    <t>Date:</t>
  </si>
  <si>
    <t>Place Comments below:</t>
  </si>
  <si>
    <t>Academic Achievement Scholarship</t>
  </si>
  <si>
    <t>College Day Scholarship</t>
  </si>
  <si>
    <t>Conference Subsidy (On-campus)</t>
  </si>
  <si>
    <t>Conference Subsidy (Off-campus)</t>
  </si>
  <si>
    <t>Early Bird Scholarship</t>
  </si>
  <si>
    <t>Family Discount</t>
  </si>
  <si>
    <t>Federal Pell Grant</t>
  </si>
  <si>
    <t>Federal SEOG</t>
  </si>
  <si>
    <t>Federally Subsidized Direct Loan</t>
  </si>
  <si>
    <t>Federally UnSubsidized Direct Loan</t>
  </si>
  <si>
    <t>Oakwood Subsidy</t>
  </si>
  <si>
    <t>Parent PLUS Loan</t>
  </si>
  <si>
    <t>Premier Scholarship</t>
  </si>
  <si>
    <t>Prestige Scholarship</t>
  </si>
  <si>
    <t>Sibling Discount</t>
  </si>
  <si>
    <t>Transfer Scholarship</t>
  </si>
  <si>
    <t>UNCF</t>
  </si>
  <si>
    <t>VA Subsidy</t>
  </si>
  <si>
    <t>Worthy Student Scholarship</t>
  </si>
  <si>
    <t>Ending Bal:</t>
  </si>
  <si>
    <t>Payment Plan Amt:</t>
  </si>
  <si>
    <t>Total Credits:</t>
  </si>
  <si>
    <t>Previous Balance:</t>
  </si>
  <si>
    <t>Total Charges:</t>
  </si>
  <si>
    <t>Your Bill:</t>
  </si>
  <si>
    <t>Total Credits</t>
  </si>
  <si>
    <t>Hours:</t>
  </si>
  <si>
    <t>Amount</t>
  </si>
  <si>
    <t xml:space="preserve"> </t>
  </si>
  <si>
    <t>OUSA Rep:</t>
  </si>
  <si>
    <t>Do not type in gray areas</t>
  </si>
  <si>
    <t>Monthly Payment:</t>
  </si>
  <si>
    <t>Charges</t>
  </si>
  <si>
    <t xml:space="preserve">Federally Unsub Stafford Loan           </t>
  </si>
  <si>
    <t>Credit</t>
  </si>
  <si>
    <t>Name:</t>
  </si>
  <si>
    <t>Phone:</t>
  </si>
  <si>
    <t>Email:</t>
  </si>
  <si>
    <t>30% Matching Scholarship</t>
  </si>
  <si>
    <t>Achievement Scholarship</t>
  </si>
  <si>
    <t>Challenge Scholarship</t>
  </si>
  <si>
    <t xml:space="preserve">Forward Scholarship </t>
  </si>
  <si>
    <t>Home School Attendee Award</t>
  </si>
  <si>
    <t>My Road Scholarship</t>
  </si>
  <si>
    <t>National Merit Finalist</t>
  </si>
  <si>
    <t>National Merit Semi-Finalist</t>
  </si>
  <si>
    <t>Platinum Scholarship</t>
  </si>
  <si>
    <t>Premier 2 Scholarship</t>
  </si>
  <si>
    <t>Presidential Scholarship - Salutatorian</t>
  </si>
  <si>
    <t>Presidential Scholarship - Valedictorian</t>
  </si>
  <si>
    <t>Prestige 2 Scholarship</t>
  </si>
  <si>
    <t>Recruitment Scholarship</t>
  </si>
  <si>
    <t xml:space="preserve">Soaring Scholarship </t>
  </si>
  <si>
    <t>Striving Scholarship</t>
  </si>
  <si>
    <t>Immediate Amount Due (80%)</t>
  </si>
  <si>
    <t>v.EX20230519-0010</t>
  </si>
  <si>
    <t>Financial Clearance WorkSheet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</si>
</sst>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$&quot;#,##0.00_);\(&quot;$&quot;#,##0.00\)"/>
    <numFmt numFmtId="8" formatCode="&quot;$&quot;#,##0.00_);[Red]\(&quot;$&quot;#,##0.00\)"/>
    <numFmt numFmtId="44" formatCode="_(&quot;$&quot;* #,##0.00_);_(&quot;$&quot;* \(#,##0.00\);_(&quot;$&quot;* &quot;-&quot;??_);_(@_)"/>
  </numFmts>
  <fonts count="4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Arial Rounded MT Bold"/>
      <family val="2"/>
    </font>
    <font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Arial Rounded MT Bold"/>
      <family val="2"/>
    </font>
    <font>
      <sz val="12"/>
      <color rgb="FFFF0000"/>
      <name val="Calibri"/>
      <family val="2"/>
      <scheme val="minor"/>
    </font>
    <font>
      <sz val="10"/>
      <color theme="1"/>
      <name val="Arial Rounded MT Bold"/>
      <family val="2"/>
    </font>
    <font>
      <i/>
      <sz val="10"/>
      <color theme="1"/>
      <name val="Times New Roman"/>
      <family val="1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2"/>
      <color rgb="FFC00000"/>
      <name val="Arial Rounded MT Bold"/>
      <family val="2"/>
    </font>
    <font>
      <b/>
      <sz val="12"/>
      <color rgb="FFC00000"/>
      <name val="Arial Rounded MT Bold"/>
      <family val="2"/>
    </font>
    <font>
      <b/>
      <sz val="12"/>
      <color rgb="FF0070C0"/>
      <name val="Calibri"/>
      <family val="2"/>
      <scheme val="minor"/>
    </font>
    <font>
      <sz val="12"/>
      <color theme="8" tint="-0.499984740745262"/>
      <name val="Calibri Light"/>
      <family val="2"/>
      <scheme val="major"/>
    </font>
    <font>
      <sz val="11"/>
      <color theme="8" tint="-0.499984740745262"/>
      <name val="Calibri Light"/>
      <family val="2"/>
      <scheme val="major"/>
    </font>
    <font>
      <sz val="12"/>
      <color theme="9" tint="-0.499984740745262"/>
      <name val="Arial Rounded MT Bold"/>
      <family val="2"/>
    </font>
    <font>
      <sz val="10"/>
      <color theme="4" tint="-0.24994659260841701"/>
      <name val="Arial Rounded MT Bold"/>
      <family val="2"/>
    </font>
    <font>
      <b/>
      <sz val="11"/>
      <color theme="8" tint="-0.249977111117893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theme="9" tint="-0.499984740745262"/>
      <name val="Arial Rounded MT Bold"/>
      <family val="2"/>
    </font>
    <font>
      <sz val="10"/>
      <color theme="4" tint="-0.249977111117893"/>
      <name val="Arial Narrow"/>
      <family val="2"/>
    </font>
    <font>
      <sz val="10"/>
      <color theme="9" tint="-0.499984740745262"/>
      <name val="Arial Rounded MT Bold"/>
      <family val="2"/>
    </font>
    <font>
      <i/>
      <sz val="8"/>
      <color theme="1" tint="0.499984740745262"/>
      <name val="Calibri Light"/>
      <family val="2"/>
      <scheme val="major"/>
    </font>
    <font>
      <sz val="8"/>
      <color theme="3"/>
      <name val="Calibri Light"/>
      <family val="2"/>
      <scheme val="major"/>
    </font>
    <font>
      <b/>
      <sz val="10"/>
      <color theme="8" tint="-0.499984740745262"/>
      <name val="Calibri"/>
      <family val="2"/>
      <scheme val="minor"/>
    </font>
    <font>
      <i/>
      <sz val="8"/>
      <color rgb="FF002060"/>
      <name val="Arial Narrow"/>
      <family val="2"/>
    </font>
    <font>
      <b/>
      <i/>
      <sz val="8"/>
      <color rgb="FFC00000"/>
      <name val="Arial Narrow"/>
      <family val="2"/>
    </font>
    <font>
      <b/>
      <sz val="8"/>
      <color theme="1"/>
      <name val="Arial Narrow"/>
      <family val="2"/>
    </font>
    <font>
      <b/>
      <sz val="12"/>
      <color rgb="FFC00000"/>
      <name val="Calibri"/>
      <family val="2"/>
      <scheme val="minor"/>
    </font>
    <font>
      <i/>
      <sz val="11"/>
      <color theme="1"/>
      <name val="Century"/>
      <family val="1"/>
    </font>
    <font>
      <i/>
      <sz val="11"/>
      <color rgb="FFC00000"/>
      <name val="Century"/>
      <family val="1"/>
    </font>
    <font>
      <i/>
      <sz val="11"/>
      <color rgb="FF002060"/>
      <name val="Century"/>
      <family val="1"/>
    </font>
    <font>
      <b/>
      <i/>
      <sz val="14"/>
      <color rgb="FFC00000"/>
      <name val="Century"/>
      <family val="1"/>
    </font>
    <font>
      <b/>
      <i/>
      <sz val="11"/>
      <color rgb="FF002060"/>
      <name val="Century"/>
      <family val="1"/>
    </font>
    <font>
      <b/>
      <sz val="12"/>
      <color rgb="FF002060"/>
      <name val="Arial Rounded MT Bold"/>
      <family val="2"/>
    </font>
    <font>
      <b/>
      <sz val="16"/>
      <color theme="0"/>
      <name val="Calibri Light"/>
      <family val="2"/>
      <scheme val="major"/>
    </font>
    <font>
      <b/>
      <sz val="20"/>
      <color theme="0"/>
      <name val="Calibri Light"/>
      <family val="2"/>
      <scheme val="major"/>
    </font>
    <font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gray125">
        <bgColor rgb="FFC00000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01">
    <xf numFmtId="0" fontId="0" fillId="0" borderId="0" xfId="0"/>
    <xf numFmtId="0" fontId="0" fillId="2" borderId="0" xfId="0" applyFill="1"/>
    <xf numFmtId="8" fontId="15" fillId="0" borderId="1" xfId="0" applyNumberFormat="1" applyFont="1" applyBorder="1" applyAlignment="1">
      <alignment horizontal="right"/>
    </xf>
    <xf numFmtId="0" fontId="0" fillId="4" borderId="0" xfId="0" applyFill="1"/>
    <xf numFmtId="0" fontId="0" fillId="0" borderId="8" xfId="0" applyBorder="1"/>
    <xf numFmtId="0" fontId="0" fillId="3" borderId="0" xfId="0" applyFill="1"/>
    <xf numFmtId="8" fontId="24" fillId="3" borderId="1" xfId="0" applyNumberFormat="1" applyFont="1" applyFill="1" applyBorder="1" applyAlignment="1" applyProtection="1">
      <alignment horizontal="right"/>
      <protection locked="0"/>
    </xf>
    <xf numFmtId="8" fontId="24" fillId="3" borderId="2" xfId="0" applyNumberFormat="1" applyFont="1" applyFill="1" applyBorder="1" applyProtection="1">
      <protection locked="0"/>
    </xf>
    <xf numFmtId="8" fontId="24" fillId="3" borderId="4" xfId="0" applyNumberFormat="1" applyFont="1" applyFill="1" applyBorder="1" applyProtection="1">
      <protection locked="0"/>
    </xf>
    <xf numFmtId="8" fontId="24" fillId="3" borderId="1" xfId="0" applyNumberFormat="1" applyFont="1" applyFill="1" applyBorder="1" applyProtection="1">
      <protection locked="0"/>
    </xf>
    <xf numFmtId="8" fontId="24" fillId="0" borderId="2" xfId="0" applyNumberFormat="1" applyFont="1" applyBorder="1" applyProtection="1">
      <protection locked="0"/>
    </xf>
    <xf numFmtId="8" fontId="24" fillId="0" borderId="1" xfId="0" applyNumberFormat="1" applyFont="1" applyBorder="1" applyProtection="1">
      <protection locked="0"/>
    </xf>
    <xf numFmtId="0" fontId="19" fillId="0" borderId="7" xfId="0" applyFont="1" applyBorder="1" applyAlignment="1">
      <alignment horizontal="center"/>
    </xf>
    <xf numFmtId="49" fontId="14" fillId="0" borderId="7" xfId="0" applyNumberFormat="1" applyFont="1" applyBorder="1" applyAlignment="1" applyProtection="1">
      <alignment horizontal="left"/>
      <protection locked="0"/>
    </xf>
    <xf numFmtId="0" fontId="0" fillId="0" borderId="2" xfId="0" applyBorder="1"/>
    <xf numFmtId="0" fontId="0" fillId="3" borderId="7" xfId="0" applyFill="1" applyBorder="1" applyAlignment="1">
      <alignment horizontal="center"/>
    </xf>
    <xf numFmtId="0" fontId="3" fillId="0" borderId="7" xfId="0" applyFont="1" applyBorder="1"/>
    <xf numFmtId="0" fontId="27" fillId="0" borderId="7" xfId="0" applyFont="1" applyBorder="1" applyAlignment="1">
      <alignment horizontal="right"/>
    </xf>
    <xf numFmtId="8" fontId="3" fillId="5" borderId="0" xfId="0" applyNumberFormat="1" applyFont="1" applyFill="1"/>
    <xf numFmtId="0" fontId="3" fillId="5" borderId="0" xfId="0" applyFont="1" applyFill="1"/>
    <xf numFmtId="44" fontId="18" fillId="5" borderId="1" xfId="0" applyNumberFormat="1" applyFont="1" applyFill="1" applyBorder="1"/>
    <xf numFmtId="0" fontId="4" fillId="5" borderId="0" xfId="0" applyFont="1" applyFill="1" applyAlignment="1">
      <alignment horizontal="right"/>
    </xf>
    <xf numFmtId="8" fontId="7" fillId="5" borderId="1" xfId="1" applyNumberFormat="1" applyFont="1" applyFill="1" applyBorder="1"/>
    <xf numFmtId="8" fontId="6" fillId="5" borderId="0" xfId="0" applyNumberFormat="1" applyFont="1" applyFill="1" applyAlignment="1">
      <alignment horizontal="right"/>
    </xf>
    <xf numFmtId="0" fontId="3" fillId="5" borderId="0" xfId="0" applyFont="1" applyFill="1" applyAlignment="1">
      <alignment horizontal="right"/>
    </xf>
    <xf numFmtId="0" fontId="6" fillId="5" borderId="0" xfId="0" applyFont="1" applyFill="1" applyAlignment="1">
      <alignment horizontal="right"/>
    </xf>
    <xf numFmtId="8" fontId="7" fillId="5" borderId="1" xfId="0" applyNumberFormat="1" applyFont="1" applyFill="1" applyBorder="1"/>
    <xf numFmtId="0" fontId="0" fillId="5" borderId="0" xfId="0" applyFill="1"/>
    <xf numFmtId="44" fontId="8" fillId="5" borderId="0" xfId="0" applyNumberFormat="1" applyFont="1" applyFill="1"/>
    <xf numFmtId="0" fontId="9" fillId="5" borderId="0" xfId="0" applyFont="1" applyFill="1" applyAlignment="1">
      <alignment horizontal="right"/>
    </xf>
    <xf numFmtId="22" fontId="23" fillId="5" borderId="7" xfId="0" applyNumberFormat="1" applyFont="1" applyFill="1" applyBorder="1"/>
    <xf numFmtId="0" fontId="26" fillId="5" borderId="0" xfId="0" applyFont="1" applyFill="1"/>
    <xf numFmtId="0" fontId="25" fillId="5" borderId="0" xfId="0" applyFont="1" applyFill="1" applyAlignment="1">
      <alignment horizontal="center"/>
    </xf>
    <xf numFmtId="8" fontId="22" fillId="5" borderId="7" xfId="0" applyNumberFormat="1" applyFont="1" applyFill="1" applyBorder="1" applyAlignment="1">
      <alignment horizontal="right"/>
    </xf>
    <xf numFmtId="0" fontId="0" fillId="0" borderId="0" xfId="0" applyAlignment="1">
      <alignment horizontal="center"/>
    </xf>
    <xf numFmtId="0" fontId="31" fillId="0" borderId="0" xfId="0" applyFont="1" applyAlignment="1">
      <alignment horizontal="center"/>
    </xf>
    <xf numFmtId="0" fontId="32" fillId="0" borderId="0" xfId="0" applyFont="1"/>
    <xf numFmtId="8" fontId="33" fillId="0" borderId="0" xfId="0" applyNumberFormat="1" applyFont="1"/>
    <xf numFmtId="0" fontId="34" fillId="0" borderId="0" xfId="0" applyFont="1"/>
    <xf numFmtId="8" fontId="35" fillId="0" borderId="0" xfId="0" applyNumberFormat="1" applyFont="1"/>
    <xf numFmtId="0" fontId="36" fillId="0" borderId="0" xfId="0" applyFont="1" applyAlignment="1">
      <alignment horizontal="right"/>
    </xf>
    <xf numFmtId="8" fontId="37" fillId="5" borderId="0" xfId="0" applyNumberFormat="1" applyFont="1" applyFill="1"/>
    <xf numFmtId="0" fontId="3" fillId="7" borderId="0" xfId="0" applyFont="1" applyFill="1"/>
    <xf numFmtId="0" fontId="0" fillId="7" borderId="0" xfId="0" applyFill="1"/>
    <xf numFmtId="0" fontId="3" fillId="7" borderId="0" xfId="0" applyFont="1" applyFill="1" applyAlignment="1">
      <alignment horizontal="right"/>
    </xf>
    <xf numFmtId="0" fontId="21" fillId="7" borderId="0" xfId="0" applyFont="1" applyFill="1" applyAlignment="1">
      <alignment horizontal="right"/>
    </xf>
    <xf numFmtId="0" fontId="0" fillId="7" borderId="0" xfId="0" applyFill="1" applyAlignment="1">
      <alignment horizontal="right"/>
    </xf>
    <xf numFmtId="0" fontId="20" fillId="7" borderId="0" xfId="0" applyFont="1" applyFill="1" applyAlignment="1">
      <alignment horizontal="left"/>
    </xf>
    <xf numFmtId="7" fontId="13" fillId="0" borderId="1" xfId="0" applyNumberFormat="1" applyFont="1" applyBorder="1"/>
    <xf numFmtId="0" fontId="5" fillId="0" borderId="0" xfId="0" applyFont="1" applyProtection="1">
      <protection locked="0"/>
    </xf>
    <xf numFmtId="0" fontId="0" fillId="0" borderId="0" xfId="0" applyProtection="1">
      <protection locked="0"/>
    </xf>
    <xf numFmtId="0" fontId="0" fillId="0" borderId="8" xfId="0" applyBorder="1" applyProtection="1">
      <protection locked="0"/>
    </xf>
    <xf numFmtId="0" fontId="5" fillId="0" borderId="1" xfId="0" applyFont="1" applyBorder="1" applyProtection="1">
      <protection locked="0"/>
    </xf>
    <xf numFmtId="0" fontId="0" fillId="0" borderId="1" xfId="0" applyBorder="1" applyProtection="1">
      <protection locked="0"/>
    </xf>
    <xf numFmtId="0" fontId="0" fillId="0" borderId="9" xfId="0" applyBorder="1" applyProtection="1">
      <protection locked="0"/>
    </xf>
    <xf numFmtId="0" fontId="2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6" fillId="0" borderId="10" xfId="0" applyFont="1" applyBorder="1"/>
    <xf numFmtId="0" fontId="17" fillId="0" borderId="2" xfId="0" applyFont="1" applyBorder="1"/>
    <xf numFmtId="0" fontId="17" fillId="0" borderId="11" xfId="0" applyFont="1" applyBorder="1"/>
    <xf numFmtId="49" fontId="16" fillId="0" borderId="10" xfId="0" applyNumberFormat="1" applyFont="1" applyBorder="1"/>
    <xf numFmtId="49" fontId="17" fillId="0" borderId="2" xfId="0" applyNumberFormat="1" applyFont="1" applyBorder="1"/>
    <xf numFmtId="49" fontId="17" fillId="0" borderId="11" xfId="0" applyNumberFormat="1" applyFont="1" applyBorder="1"/>
    <xf numFmtId="49" fontId="0" fillId="0" borderId="2" xfId="0" applyNumberFormat="1" applyBorder="1" applyProtection="1">
      <protection locked="0"/>
    </xf>
    <xf numFmtId="0" fontId="0" fillId="0" borderId="2" xfId="0" applyBorder="1" applyProtection="1">
      <protection locked="0"/>
    </xf>
    <xf numFmtId="0" fontId="0" fillId="0" borderId="11" xfId="0" applyBorder="1" applyProtection="1">
      <protection locked="0"/>
    </xf>
    <xf numFmtId="0" fontId="3" fillId="0" borderId="0" xfId="0" applyFont="1" applyProtection="1">
      <protection locked="0"/>
    </xf>
    <xf numFmtId="0" fontId="38" fillId="8" borderId="0" xfId="0" applyFont="1" applyFill="1" applyAlignment="1">
      <alignment horizontal="center" vertical="center"/>
    </xf>
    <xf numFmtId="0" fontId="39" fillId="8" borderId="0" xfId="0" applyFont="1" applyFill="1" applyAlignment="1">
      <alignment horizontal="center" vertical="center"/>
    </xf>
    <xf numFmtId="0" fontId="0" fillId="7" borderId="0" xfId="0" applyFill="1" applyAlignment="1">
      <alignment horizontal="center"/>
    </xf>
    <xf numFmtId="49" fontId="0" fillId="0" borderId="0" xfId="0" applyNumberFormat="1"/>
    <xf numFmtId="0" fontId="0" fillId="0" borderId="0" xfId="0"/>
    <xf numFmtId="0" fontId="2" fillId="0" borderId="10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0" fillId="0" borderId="2" xfId="0" applyBorder="1"/>
    <xf numFmtId="0" fontId="0" fillId="0" borderId="2" xfId="0" quotePrefix="1" applyBorder="1" applyProtection="1">
      <protection locked="0"/>
    </xf>
    <xf numFmtId="0" fontId="19" fillId="0" borderId="12" xfId="0" applyFont="1" applyBorder="1" applyAlignment="1" applyProtection="1">
      <alignment horizontal="center"/>
      <protection locked="0"/>
    </xf>
    <xf numFmtId="0" fontId="0" fillId="0" borderId="13" xfId="0" applyBorder="1"/>
    <xf numFmtId="0" fontId="10" fillId="6" borderId="3" xfId="0" applyFont="1" applyFill="1" applyBorder="1" applyAlignment="1" applyProtection="1">
      <alignment vertical="top" wrapText="1"/>
      <protection locked="0"/>
    </xf>
    <xf numFmtId="0" fontId="11" fillId="6" borderId="4" xfId="0" applyFont="1" applyFill="1" applyBorder="1" applyAlignment="1" applyProtection="1">
      <alignment vertical="top" wrapText="1"/>
      <protection locked="0"/>
    </xf>
    <xf numFmtId="0" fontId="11" fillId="6" borderId="5" xfId="0" applyFont="1" applyFill="1" applyBorder="1" applyAlignment="1" applyProtection="1">
      <alignment vertical="top" wrapText="1"/>
      <protection locked="0"/>
    </xf>
    <xf numFmtId="0" fontId="11" fillId="6" borderId="0" xfId="0" applyFont="1" applyFill="1" applyAlignment="1" applyProtection="1">
      <alignment vertical="top" wrapText="1"/>
      <protection locked="0"/>
    </xf>
    <xf numFmtId="0" fontId="11" fillId="6" borderId="6" xfId="0" applyFont="1" applyFill="1" applyBorder="1" applyAlignment="1" applyProtection="1">
      <alignment vertical="top" wrapText="1"/>
      <protection locked="0"/>
    </xf>
    <xf numFmtId="0" fontId="11" fillId="6" borderId="1" xfId="0" applyFont="1" applyFill="1" applyBorder="1" applyAlignment="1" applyProtection="1">
      <alignment vertical="top" wrapText="1"/>
      <protection locked="0"/>
    </xf>
    <xf numFmtId="0" fontId="5" fillId="0" borderId="0" xfId="0" applyFont="1"/>
    <xf numFmtId="0" fontId="2" fillId="5" borderId="0" xfId="0" applyFont="1" applyFill="1" applyAlignment="1">
      <alignment horizontal="right"/>
    </xf>
    <xf numFmtId="0" fontId="0" fillId="5" borderId="0" xfId="0" applyFill="1" applyAlignment="1">
      <alignment horizontal="right"/>
    </xf>
    <xf numFmtId="0" fontId="0" fillId="6" borderId="1" xfId="0" applyFill="1" applyBorder="1" applyProtection="1">
      <protection locked="0"/>
    </xf>
    <xf numFmtId="0" fontId="9" fillId="5" borderId="0" xfId="0" applyFont="1" applyFill="1" applyAlignment="1">
      <alignment horizontal="right"/>
    </xf>
    <xf numFmtId="0" fontId="12" fillId="5" borderId="1" xfId="0" applyFont="1" applyFill="1" applyBorder="1"/>
    <xf numFmtId="0" fontId="0" fillId="5" borderId="1" xfId="0" applyFill="1" applyBorder="1"/>
    <xf numFmtId="0" fontId="6" fillId="0" borderId="0" xfId="0" applyFont="1" applyAlignment="1">
      <alignment horizontal="right"/>
    </xf>
    <xf numFmtId="0" fontId="6" fillId="5" borderId="0" xfId="0" applyFont="1" applyFill="1" applyAlignment="1">
      <alignment horizontal="right"/>
    </xf>
    <xf numFmtId="0" fontId="0" fillId="5" borderId="0" xfId="0" applyFill="1"/>
    <xf numFmtId="0" fontId="4" fillId="5" borderId="0" xfId="0" applyFont="1" applyFill="1" applyAlignment="1">
      <alignment horizontal="right"/>
    </xf>
    <xf numFmtId="0" fontId="3" fillId="5" borderId="0" xfId="0" applyFont="1" applyFill="1"/>
    <xf numFmtId="0" fontId="29" fillId="5" borderId="0" xfId="0" applyFont="1" applyFill="1" applyAlignment="1">
      <alignment horizontal="center"/>
    </xf>
    <xf numFmtId="0" fontId="30" fillId="5" borderId="0" xfId="0" applyFont="1" applyFill="1" applyAlignment="1">
      <alignment horizontal="center"/>
    </xf>
    <xf numFmtId="0" fontId="28" fillId="5" borderId="2" xfId="0" applyFont="1" applyFill="1" applyBorder="1"/>
    <xf numFmtId="0" fontId="31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colors>
    <mruColors>
      <color rgb="FF1407B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3</xdr:row>
          <xdr:rowOff>28575</xdr:rowOff>
        </xdr:from>
        <xdr:to>
          <xdr:col>8</xdr:col>
          <xdr:colOff>942975</xdr:colOff>
          <xdr:row>4</xdr:row>
          <xdr:rowOff>142875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8</xdr:row>
          <xdr:rowOff>0</xdr:rowOff>
        </xdr:from>
        <xdr:to>
          <xdr:col>7</xdr:col>
          <xdr:colOff>400050</xdr:colOff>
          <xdr:row>14</xdr:row>
          <xdr:rowOff>85725</xdr:rowOff>
        </xdr:to>
        <xdr:sp macro="" textlink="">
          <xdr:nvSpPr>
            <xdr:cNvPr id="1047" name="Image1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15</xdr:row>
          <xdr:rowOff>28575</xdr:rowOff>
        </xdr:from>
        <xdr:to>
          <xdr:col>4</xdr:col>
          <xdr:colOff>600075</xdr:colOff>
          <xdr:row>15</xdr:row>
          <xdr:rowOff>247650</xdr:rowOff>
        </xdr:to>
        <xdr:sp macro="" textlink="">
          <xdr:nvSpPr>
            <xdr:cNvPr id="1049" name="ComboBox6" descr="Student Scholarships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16</xdr:row>
          <xdr:rowOff>19050</xdr:rowOff>
        </xdr:from>
        <xdr:to>
          <xdr:col>4</xdr:col>
          <xdr:colOff>600075</xdr:colOff>
          <xdr:row>16</xdr:row>
          <xdr:rowOff>238125</xdr:rowOff>
        </xdr:to>
        <xdr:sp macro="" textlink="">
          <xdr:nvSpPr>
            <xdr:cNvPr id="1050" name="ComboBox5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17</xdr:row>
          <xdr:rowOff>19050</xdr:rowOff>
        </xdr:from>
        <xdr:to>
          <xdr:col>4</xdr:col>
          <xdr:colOff>600075</xdr:colOff>
          <xdr:row>17</xdr:row>
          <xdr:rowOff>238125</xdr:rowOff>
        </xdr:to>
        <xdr:sp macro="" textlink="">
          <xdr:nvSpPr>
            <xdr:cNvPr id="1051" name="ComboBox4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18</xdr:row>
          <xdr:rowOff>0</xdr:rowOff>
        </xdr:from>
        <xdr:to>
          <xdr:col>4</xdr:col>
          <xdr:colOff>600075</xdr:colOff>
          <xdr:row>18</xdr:row>
          <xdr:rowOff>219075</xdr:rowOff>
        </xdr:to>
        <xdr:sp macro="" textlink="">
          <xdr:nvSpPr>
            <xdr:cNvPr id="1052" name="ComboBox3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18</xdr:row>
          <xdr:rowOff>257175</xdr:rowOff>
        </xdr:from>
        <xdr:to>
          <xdr:col>4</xdr:col>
          <xdr:colOff>600075</xdr:colOff>
          <xdr:row>19</xdr:row>
          <xdr:rowOff>219075</xdr:rowOff>
        </xdr:to>
        <xdr:sp macro="" textlink="">
          <xdr:nvSpPr>
            <xdr:cNvPr id="1053" name="ComboBox2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20</xdr:row>
          <xdr:rowOff>19050</xdr:rowOff>
        </xdr:from>
        <xdr:to>
          <xdr:col>4</xdr:col>
          <xdr:colOff>600075</xdr:colOff>
          <xdr:row>20</xdr:row>
          <xdr:rowOff>238125</xdr:rowOff>
        </xdr:to>
        <xdr:sp macro="" textlink="">
          <xdr:nvSpPr>
            <xdr:cNvPr id="1054" name="ComboBox1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3.xml"/><Relationship Id="rId12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7.xml"/><Relationship Id="rId5" Type="http://schemas.openxmlformats.org/officeDocument/2006/relationships/image" Target="../media/image1.emf"/><Relationship Id="rId10" Type="http://schemas.openxmlformats.org/officeDocument/2006/relationships/control" Target="../activeX/activeX6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5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39"/>
  <sheetViews>
    <sheetView showGridLines="0" showRowColHeaders="0" tabSelected="1" zoomScaleNormal="100" workbookViewId="0">
      <selection activeCell="B1" sqref="B1:I1"/>
    </sheetView>
  </sheetViews>
  <sheetFormatPr defaultRowHeight="15" x14ac:dyDescent="0.25"/>
  <cols>
    <col min="1" max="1" width="1" style="5" customWidth="1"/>
    <col min="4" max="4" width="20.28515625" customWidth="1"/>
    <col min="7" max="7" width="3.5703125" customWidth="1"/>
    <col min="9" max="9" width="14.7109375" customWidth="1"/>
    <col min="10" max="10" width="0.42578125" customWidth="1"/>
  </cols>
  <sheetData>
    <row r="1" spans="1:15" ht="24.75" customHeight="1" x14ac:dyDescent="0.25">
      <c r="A1" s="3"/>
      <c r="B1" s="67" t="s">
        <v>60</v>
      </c>
      <c r="C1" s="68"/>
      <c r="D1" s="68"/>
      <c r="E1" s="68"/>
      <c r="F1" s="68"/>
      <c r="G1" s="68"/>
      <c r="H1" s="68"/>
      <c r="I1" s="68"/>
      <c r="J1" s="1"/>
    </row>
    <row r="2" spans="1:15" x14ac:dyDescent="0.25">
      <c r="A2" s="3"/>
      <c r="B2" s="69"/>
      <c r="C2" s="69"/>
      <c r="D2" s="69"/>
      <c r="E2" s="69"/>
      <c r="F2" s="69"/>
      <c r="G2" s="69"/>
      <c r="H2" s="69"/>
      <c r="I2" s="69"/>
      <c r="J2" s="1"/>
    </row>
    <row r="3" spans="1:15" ht="15.75" x14ac:dyDescent="0.25">
      <c r="A3" s="3"/>
      <c r="B3" s="44" t="s">
        <v>39</v>
      </c>
      <c r="C3" s="57"/>
      <c r="D3" s="58"/>
      <c r="E3" s="58"/>
      <c r="F3" s="59"/>
      <c r="G3" s="42"/>
      <c r="H3" s="17" t="s">
        <v>0</v>
      </c>
      <c r="I3" s="13"/>
      <c r="J3" s="1"/>
    </row>
    <row r="4" spans="1:15" ht="15.75" x14ac:dyDescent="0.25">
      <c r="A4" s="3"/>
      <c r="B4" s="44" t="s">
        <v>40</v>
      </c>
      <c r="C4" s="60" t="s">
        <v>1</v>
      </c>
      <c r="D4" s="61"/>
      <c r="E4" s="61"/>
      <c r="F4" s="62"/>
      <c r="G4" s="44"/>
      <c r="H4" s="12"/>
      <c r="I4" s="76"/>
      <c r="J4" s="1"/>
    </row>
    <row r="5" spans="1:15" ht="15.75" x14ac:dyDescent="0.25">
      <c r="A5" s="3"/>
      <c r="B5" s="44" t="s">
        <v>41</v>
      </c>
      <c r="C5" s="60" t="s">
        <v>1</v>
      </c>
      <c r="D5" s="58"/>
      <c r="E5" s="58"/>
      <c r="F5" s="59"/>
      <c r="G5" s="42"/>
      <c r="H5" s="16" t="s">
        <v>32</v>
      </c>
      <c r="I5" s="77"/>
      <c r="J5" s="1"/>
    </row>
    <row r="6" spans="1:15" x14ac:dyDescent="0.25">
      <c r="A6" s="3"/>
      <c r="B6" s="43"/>
      <c r="C6" s="43"/>
      <c r="D6" s="45"/>
      <c r="E6" s="46" t="s">
        <v>30</v>
      </c>
      <c r="F6" s="47"/>
      <c r="G6" s="43"/>
      <c r="H6" s="43"/>
      <c r="I6" s="43"/>
      <c r="J6" s="1"/>
    </row>
    <row r="7" spans="1:15" x14ac:dyDescent="0.25">
      <c r="A7" s="3"/>
      <c r="B7" s="72" t="s">
        <v>38</v>
      </c>
      <c r="C7" s="73"/>
      <c r="D7" s="73"/>
      <c r="E7" s="74"/>
      <c r="F7" s="14"/>
      <c r="G7" s="14"/>
      <c r="H7" s="14"/>
      <c r="I7" s="15" t="s">
        <v>31</v>
      </c>
      <c r="J7" s="3"/>
    </row>
    <row r="8" spans="1:15" x14ac:dyDescent="0.25">
      <c r="A8" s="3" t="s">
        <v>37</v>
      </c>
      <c r="B8" s="75"/>
      <c r="C8" s="64"/>
      <c r="D8" s="64"/>
      <c r="E8" s="65"/>
      <c r="H8" s="4"/>
      <c r="I8" s="6"/>
      <c r="J8" s="3"/>
      <c r="L8" s="70"/>
      <c r="M8" s="71"/>
      <c r="N8" s="71"/>
      <c r="O8" s="71"/>
    </row>
    <row r="9" spans="1:15" x14ac:dyDescent="0.25">
      <c r="A9" s="3"/>
      <c r="B9" s="63"/>
      <c r="C9" s="64"/>
      <c r="D9" s="64"/>
      <c r="E9" s="65"/>
      <c r="H9" s="4"/>
      <c r="I9" s="7"/>
      <c r="J9" s="3"/>
    </row>
    <row r="10" spans="1:15" x14ac:dyDescent="0.25">
      <c r="A10" s="3"/>
      <c r="B10" s="63"/>
      <c r="C10" s="64"/>
      <c r="D10" s="64"/>
      <c r="E10" s="65"/>
      <c r="H10" s="4"/>
      <c r="I10" s="7"/>
      <c r="J10" s="3"/>
    </row>
    <row r="11" spans="1:15" x14ac:dyDescent="0.25">
      <c r="A11" s="3"/>
      <c r="B11" s="63"/>
      <c r="C11" s="64"/>
      <c r="D11" s="64"/>
      <c r="E11" s="65"/>
      <c r="H11" s="4"/>
      <c r="I11" s="8"/>
      <c r="J11" s="3"/>
    </row>
    <row r="12" spans="1:15" x14ac:dyDescent="0.25">
      <c r="A12" s="3"/>
      <c r="B12" s="63"/>
      <c r="C12" s="64"/>
      <c r="D12" s="64"/>
      <c r="E12" s="65"/>
      <c r="H12" s="4"/>
      <c r="I12" s="7"/>
      <c r="J12" s="3"/>
    </row>
    <row r="13" spans="1:15" x14ac:dyDescent="0.25">
      <c r="A13" s="3"/>
      <c r="B13" s="63"/>
      <c r="C13" s="64"/>
      <c r="D13" s="64"/>
      <c r="E13" s="65"/>
      <c r="H13" s="4"/>
      <c r="I13" s="9"/>
      <c r="J13" s="1"/>
    </row>
    <row r="14" spans="1:15" x14ac:dyDescent="0.25">
      <c r="A14" s="3"/>
      <c r="B14" s="63"/>
      <c r="C14" s="64"/>
      <c r="D14" s="64"/>
      <c r="E14" s="65"/>
      <c r="H14" s="4"/>
      <c r="I14" s="10"/>
      <c r="J14" s="1"/>
    </row>
    <row r="15" spans="1:15" ht="18" customHeight="1" x14ac:dyDescent="0.25">
      <c r="A15" s="3"/>
      <c r="B15" s="53"/>
      <c r="C15" s="53"/>
      <c r="D15" s="53"/>
      <c r="E15" s="54"/>
      <c r="H15" s="4"/>
      <c r="I15" s="10"/>
      <c r="J15" s="1"/>
    </row>
    <row r="16" spans="1:15" ht="20.25" customHeight="1" x14ac:dyDescent="0.35">
      <c r="A16" s="3"/>
      <c r="B16" s="49" t="s">
        <v>1</v>
      </c>
      <c r="C16" s="50"/>
      <c r="D16" s="50"/>
      <c r="E16" s="51"/>
      <c r="H16" s="4"/>
      <c r="I16" s="10"/>
      <c r="J16" s="1"/>
    </row>
    <row r="17" spans="1:10" ht="21" customHeight="1" x14ac:dyDescent="0.35">
      <c r="A17" s="3"/>
      <c r="B17" s="49" t="s">
        <v>1</v>
      </c>
      <c r="C17" s="50"/>
      <c r="D17" s="50"/>
      <c r="E17" s="51"/>
      <c r="H17" s="4"/>
      <c r="I17" s="10"/>
      <c r="J17" s="1"/>
    </row>
    <row r="18" spans="1:10" ht="20.25" customHeight="1" x14ac:dyDescent="0.25">
      <c r="A18" s="3"/>
      <c r="B18" s="66" t="s">
        <v>1</v>
      </c>
      <c r="C18" s="66"/>
      <c r="D18" s="66"/>
      <c r="E18" s="51"/>
      <c r="H18" s="4"/>
      <c r="I18" s="10"/>
      <c r="J18" s="1"/>
    </row>
    <row r="19" spans="1:10" ht="20.25" customHeight="1" x14ac:dyDescent="0.35">
      <c r="A19" s="3"/>
      <c r="B19" s="49" t="s">
        <v>1</v>
      </c>
      <c r="C19" s="50"/>
      <c r="D19" s="50"/>
      <c r="E19" s="51"/>
      <c r="H19" s="4"/>
      <c r="I19" s="10"/>
      <c r="J19" s="1"/>
    </row>
    <row r="20" spans="1:10" ht="20.25" customHeight="1" x14ac:dyDescent="0.35">
      <c r="A20" s="3"/>
      <c r="B20" s="49" t="s">
        <v>1</v>
      </c>
      <c r="C20" s="50"/>
      <c r="D20" s="50"/>
      <c r="E20" s="51"/>
      <c r="H20" s="4"/>
      <c r="I20" s="10"/>
      <c r="J20" s="1"/>
    </row>
    <row r="21" spans="1:10" ht="20.25" customHeight="1" x14ac:dyDescent="0.35">
      <c r="A21" s="3" t="s">
        <v>1</v>
      </c>
      <c r="B21" s="52" t="s">
        <v>1</v>
      </c>
      <c r="C21" s="53"/>
      <c r="D21" s="53"/>
      <c r="E21" s="54"/>
      <c r="H21" s="4"/>
      <c r="I21" s="11"/>
      <c r="J21" s="1"/>
    </row>
    <row r="22" spans="1:10" ht="21" x14ac:dyDescent="0.35">
      <c r="A22" s="3"/>
      <c r="B22" s="84"/>
      <c r="C22" s="71"/>
      <c r="D22" s="71"/>
      <c r="G22" s="55" t="s">
        <v>25</v>
      </c>
      <c r="H22" s="56"/>
      <c r="I22" s="33">
        <f>SUM((I8+I9+I10+I11+I12+I13+I14+I15+I16+I17+I18+I19+I20+I21))</f>
        <v>0</v>
      </c>
      <c r="J22" s="1"/>
    </row>
    <row r="23" spans="1:10" ht="15.75" x14ac:dyDescent="0.25">
      <c r="A23" s="3"/>
      <c r="B23" s="91" t="s">
        <v>26</v>
      </c>
      <c r="C23" s="71"/>
      <c r="D23" s="2">
        <v>0</v>
      </c>
      <c r="J23" s="1"/>
    </row>
    <row r="24" spans="1:10" ht="15.75" x14ac:dyDescent="0.25">
      <c r="A24" s="3"/>
      <c r="B24" s="92" t="s">
        <v>27</v>
      </c>
      <c r="C24" s="93"/>
      <c r="D24" s="41">
        <f>SUM(charges!C2:C19)</f>
        <v>0</v>
      </c>
      <c r="E24" s="19"/>
      <c r="F24" s="96" t="s">
        <v>34</v>
      </c>
      <c r="G24" s="97"/>
      <c r="H24" s="97"/>
      <c r="I24" s="97"/>
      <c r="J24" s="1"/>
    </row>
    <row r="25" spans="1:10" ht="15.75" x14ac:dyDescent="0.25">
      <c r="A25" s="3"/>
      <c r="B25" s="95"/>
      <c r="C25" s="93"/>
      <c r="D25" s="18"/>
      <c r="E25" s="19"/>
      <c r="F25" s="19"/>
      <c r="G25" s="19"/>
      <c r="H25" s="19"/>
      <c r="I25" s="19"/>
      <c r="J25" s="1"/>
    </row>
    <row r="26" spans="1:10" ht="15.75" x14ac:dyDescent="0.25">
      <c r="A26" s="3"/>
      <c r="B26" s="94" t="s">
        <v>29</v>
      </c>
      <c r="C26" s="93"/>
      <c r="D26" s="20">
        <f>$I22</f>
        <v>0</v>
      </c>
      <c r="E26" s="19"/>
      <c r="F26" s="19"/>
      <c r="G26" s="19"/>
      <c r="H26" s="19"/>
      <c r="I26" s="19"/>
      <c r="J26" s="1"/>
    </row>
    <row r="27" spans="1:10" ht="15.75" x14ac:dyDescent="0.25">
      <c r="A27" s="3"/>
      <c r="B27" s="19"/>
      <c r="C27" s="21"/>
      <c r="D27" s="19"/>
      <c r="E27" s="19"/>
      <c r="F27" s="19"/>
      <c r="G27" s="19"/>
      <c r="H27" s="19"/>
      <c r="I27" s="19"/>
      <c r="J27" s="1"/>
    </row>
    <row r="28" spans="1:10" ht="15.75" x14ac:dyDescent="0.25">
      <c r="A28" s="3"/>
      <c r="B28" s="92" t="s">
        <v>28</v>
      </c>
      <c r="C28" s="93"/>
      <c r="D28" s="22">
        <f>IF(SUM(D23 +D24-I22) &lt;0,0,SUM(D23+D24-I22))</f>
        <v>0</v>
      </c>
      <c r="E28" s="19"/>
      <c r="F28" s="27"/>
      <c r="G28" s="27"/>
      <c r="H28" s="27"/>
      <c r="I28" s="27"/>
      <c r="J28" s="1"/>
    </row>
    <row r="29" spans="1:10" ht="15.75" x14ac:dyDescent="0.25">
      <c r="A29" s="3"/>
      <c r="B29" s="19"/>
      <c r="C29" s="24"/>
      <c r="D29" s="19"/>
      <c r="E29" s="19"/>
      <c r="F29" s="92" t="s">
        <v>35</v>
      </c>
      <c r="G29" s="86"/>
      <c r="H29" s="86"/>
      <c r="I29" s="23">
        <f>IF(I31&gt;0,I31/4,0)</f>
        <v>0</v>
      </c>
      <c r="J29" s="1"/>
    </row>
    <row r="30" spans="1:10" ht="15.75" x14ac:dyDescent="0.25">
      <c r="A30" s="3"/>
      <c r="B30" s="92" t="s">
        <v>58</v>
      </c>
      <c r="C30" s="93"/>
      <c r="D30" s="48">
        <f>IF(D28&lt;1,0,IF(SUM((D24*0.8)+D23)-I22&lt;1,0,SUM((D24*0.8)+D23-I22)))</f>
        <v>0</v>
      </c>
      <c r="E30" s="19"/>
      <c r="F30" s="19"/>
      <c r="G30" s="19"/>
      <c r="H30" s="25" t="s">
        <v>24</v>
      </c>
      <c r="I30" s="26">
        <f>IF(I31&gt;0,I31,0)</f>
        <v>0</v>
      </c>
      <c r="J30" s="1"/>
    </row>
    <row r="31" spans="1:10" ht="15.75" x14ac:dyDescent="0.25">
      <c r="A31" s="3"/>
      <c r="B31" s="27"/>
      <c r="C31" s="27"/>
      <c r="D31" s="27"/>
      <c r="E31" s="27"/>
      <c r="F31" s="27"/>
      <c r="G31" s="85" t="s">
        <v>23</v>
      </c>
      <c r="H31" s="86"/>
      <c r="I31" s="28">
        <f>SUM(D24+D23-I22)</f>
        <v>0</v>
      </c>
      <c r="J31" s="1"/>
    </row>
    <row r="32" spans="1:10" x14ac:dyDescent="0.25">
      <c r="A32" s="3"/>
      <c r="B32" s="88" t="s">
        <v>33</v>
      </c>
      <c r="C32" s="86"/>
      <c r="D32" s="86"/>
      <c r="E32" s="87"/>
      <c r="F32" s="87"/>
      <c r="G32" s="87"/>
      <c r="H32" s="29" t="s">
        <v>2</v>
      </c>
      <c r="I32" s="30">
        <v>45064.720648148148</v>
      </c>
      <c r="J32" s="1"/>
    </row>
    <row r="33" spans="1:10" x14ac:dyDescent="0.25">
      <c r="A33" s="3"/>
      <c r="B33" s="89" t="s">
        <v>3</v>
      </c>
      <c r="C33" s="89"/>
      <c r="D33" s="90"/>
      <c r="E33" s="98" t="s">
        <v>59</v>
      </c>
      <c r="F33" s="74"/>
      <c r="G33" s="27"/>
      <c r="H33" s="31"/>
      <c r="I33" s="32"/>
      <c r="J33" s="1"/>
    </row>
    <row r="34" spans="1:10" x14ac:dyDescent="0.25">
      <c r="A34" s="3"/>
      <c r="B34" s="78"/>
      <c r="C34" s="79"/>
      <c r="D34" s="79"/>
      <c r="E34" s="79"/>
      <c r="F34" s="79"/>
      <c r="G34" s="79"/>
      <c r="H34" s="79"/>
      <c r="I34" s="79"/>
      <c r="J34" s="1"/>
    </row>
    <row r="35" spans="1:10" x14ac:dyDescent="0.25">
      <c r="A35" s="3"/>
      <c r="B35" s="80"/>
      <c r="C35" s="81"/>
      <c r="D35" s="81"/>
      <c r="E35" s="81"/>
      <c r="F35" s="81"/>
      <c r="G35" s="81"/>
      <c r="H35" s="81"/>
      <c r="I35" s="81"/>
      <c r="J35" s="1"/>
    </row>
    <row r="36" spans="1:10" x14ac:dyDescent="0.25">
      <c r="A36" s="3"/>
      <c r="B36" s="80"/>
      <c r="C36" s="81"/>
      <c r="D36" s="81"/>
      <c r="E36" s="81"/>
      <c r="F36" s="81"/>
      <c r="G36" s="81"/>
      <c r="H36" s="81"/>
      <c r="I36" s="81"/>
      <c r="J36" s="1"/>
    </row>
    <row r="37" spans="1:10" x14ac:dyDescent="0.25">
      <c r="A37" s="3"/>
      <c r="B37" s="80"/>
      <c r="C37" s="81"/>
      <c r="D37" s="81"/>
      <c r="E37" s="81"/>
      <c r="F37" s="81"/>
      <c r="G37" s="81"/>
      <c r="H37" s="81"/>
      <c r="I37" s="81"/>
      <c r="J37" s="1"/>
    </row>
    <row r="38" spans="1:10" x14ac:dyDescent="0.25">
      <c r="A38" s="3"/>
      <c r="B38" s="82"/>
      <c r="C38" s="83"/>
      <c r="D38" s="83"/>
      <c r="E38" s="83"/>
      <c r="F38" s="83"/>
      <c r="G38" s="83"/>
      <c r="H38" s="83"/>
      <c r="I38" s="83"/>
      <c r="J38" s="1"/>
    </row>
    <row r="39" spans="1:10" x14ac:dyDescent="0.25">
      <c r="A39" s="3"/>
      <c r="B39" s="3"/>
      <c r="C39" s="3"/>
      <c r="D39" s="3"/>
      <c r="E39" s="3"/>
      <c r="F39" s="3"/>
      <c r="G39" s="3"/>
      <c r="H39" s="3"/>
      <c r="I39" s="3"/>
      <c r="J39" s="3"/>
    </row>
  </sheetData>
  <mergeCells count="38">
    <mergeCell ref="B34:I38"/>
    <mergeCell ref="B22:D22"/>
    <mergeCell ref="G31:H31"/>
    <mergeCell ref="E32:G32"/>
    <mergeCell ref="B32:D32"/>
    <mergeCell ref="B33:D33"/>
    <mergeCell ref="B23:C23"/>
    <mergeCell ref="B24:C24"/>
    <mergeCell ref="B26:C26"/>
    <mergeCell ref="B28:C28"/>
    <mergeCell ref="B30:C30"/>
    <mergeCell ref="B25:C25"/>
    <mergeCell ref="F29:H29"/>
    <mergeCell ref="F24:I24"/>
    <mergeCell ref="E33:F33"/>
    <mergeCell ref="B1:I1"/>
    <mergeCell ref="B2:I2"/>
    <mergeCell ref="L8:O8"/>
    <mergeCell ref="B9:E9"/>
    <mergeCell ref="B7:E7"/>
    <mergeCell ref="B8:E8"/>
    <mergeCell ref="I4:I5"/>
    <mergeCell ref="B20:E20"/>
    <mergeCell ref="B21:E21"/>
    <mergeCell ref="G22:H22"/>
    <mergeCell ref="C3:F3"/>
    <mergeCell ref="C4:F4"/>
    <mergeCell ref="C5:F5"/>
    <mergeCell ref="B10:E10"/>
    <mergeCell ref="B13:E13"/>
    <mergeCell ref="B14:E14"/>
    <mergeCell ref="B15:E15"/>
    <mergeCell ref="B16:E16"/>
    <mergeCell ref="B17:E17"/>
    <mergeCell ref="B18:E18"/>
    <mergeCell ref="B19:E19"/>
    <mergeCell ref="B11:E11"/>
    <mergeCell ref="B12:E12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54" r:id="rId4" name="ComboBox1">
          <controlPr defaultSize="0" autoLine="0" linkedCell="B21" listFillRange="Scholarships" r:id="rId5">
            <anchor moveWithCells="1">
              <from>
                <xdr:col>1</xdr:col>
                <xdr:colOff>57150</xdr:colOff>
                <xdr:row>20</xdr:row>
                <xdr:rowOff>19050</xdr:rowOff>
              </from>
              <to>
                <xdr:col>4</xdr:col>
                <xdr:colOff>600075</xdr:colOff>
                <xdr:row>20</xdr:row>
                <xdr:rowOff>238125</xdr:rowOff>
              </to>
            </anchor>
          </controlPr>
        </control>
      </mc:Choice>
      <mc:Fallback>
        <control shapeId="1054" r:id="rId4" name="ComboBox1"/>
      </mc:Fallback>
    </mc:AlternateContent>
    <mc:AlternateContent xmlns:mc="http://schemas.openxmlformats.org/markup-compatibility/2006">
      <mc:Choice Requires="x14">
        <control shapeId="1053" r:id="rId6" name="ComboBox2">
          <controlPr defaultSize="0" autoLine="0" autoPict="0" linkedCell="B20" listFillRange="Scholarships" r:id="rId5">
            <anchor moveWithCells="1">
              <from>
                <xdr:col>1</xdr:col>
                <xdr:colOff>57150</xdr:colOff>
                <xdr:row>18</xdr:row>
                <xdr:rowOff>257175</xdr:rowOff>
              </from>
              <to>
                <xdr:col>4</xdr:col>
                <xdr:colOff>600075</xdr:colOff>
                <xdr:row>19</xdr:row>
                <xdr:rowOff>219075</xdr:rowOff>
              </to>
            </anchor>
          </controlPr>
        </control>
      </mc:Choice>
      <mc:Fallback>
        <control shapeId="1053" r:id="rId6" name="ComboBox2"/>
      </mc:Fallback>
    </mc:AlternateContent>
    <mc:AlternateContent xmlns:mc="http://schemas.openxmlformats.org/markup-compatibility/2006">
      <mc:Choice Requires="x14">
        <control shapeId="1052" r:id="rId7" name="ComboBox3">
          <controlPr defaultSize="0" autoLine="0" linkedCell="B19" listFillRange="Scholarships" r:id="rId5">
            <anchor moveWithCells="1">
              <from>
                <xdr:col>1</xdr:col>
                <xdr:colOff>57150</xdr:colOff>
                <xdr:row>18</xdr:row>
                <xdr:rowOff>0</xdr:rowOff>
              </from>
              <to>
                <xdr:col>4</xdr:col>
                <xdr:colOff>600075</xdr:colOff>
                <xdr:row>18</xdr:row>
                <xdr:rowOff>219075</xdr:rowOff>
              </to>
            </anchor>
          </controlPr>
        </control>
      </mc:Choice>
      <mc:Fallback>
        <control shapeId="1052" r:id="rId7" name="ComboBox3"/>
      </mc:Fallback>
    </mc:AlternateContent>
    <mc:AlternateContent xmlns:mc="http://schemas.openxmlformats.org/markup-compatibility/2006">
      <mc:Choice Requires="x14">
        <control shapeId="1051" r:id="rId8" name="ComboBox4">
          <controlPr defaultSize="0" autoLine="0" linkedCell="B18" listFillRange="Scholarships" r:id="rId5">
            <anchor moveWithCells="1">
              <from>
                <xdr:col>1</xdr:col>
                <xdr:colOff>57150</xdr:colOff>
                <xdr:row>17</xdr:row>
                <xdr:rowOff>19050</xdr:rowOff>
              </from>
              <to>
                <xdr:col>4</xdr:col>
                <xdr:colOff>600075</xdr:colOff>
                <xdr:row>17</xdr:row>
                <xdr:rowOff>238125</xdr:rowOff>
              </to>
            </anchor>
          </controlPr>
        </control>
      </mc:Choice>
      <mc:Fallback>
        <control shapeId="1051" r:id="rId8" name="ComboBox4"/>
      </mc:Fallback>
    </mc:AlternateContent>
    <mc:AlternateContent xmlns:mc="http://schemas.openxmlformats.org/markup-compatibility/2006">
      <mc:Choice Requires="x14">
        <control shapeId="1050" r:id="rId9" name="ComboBox5">
          <controlPr defaultSize="0" autoLine="0" linkedCell="B17" listFillRange="Scholarships" r:id="rId5">
            <anchor moveWithCells="1">
              <from>
                <xdr:col>1</xdr:col>
                <xdr:colOff>57150</xdr:colOff>
                <xdr:row>16</xdr:row>
                <xdr:rowOff>19050</xdr:rowOff>
              </from>
              <to>
                <xdr:col>4</xdr:col>
                <xdr:colOff>600075</xdr:colOff>
                <xdr:row>16</xdr:row>
                <xdr:rowOff>238125</xdr:rowOff>
              </to>
            </anchor>
          </controlPr>
        </control>
      </mc:Choice>
      <mc:Fallback>
        <control shapeId="1050" r:id="rId9" name="ComboBox5"/>
      </mc:Fallback>
    </mc:AlternateContent>
    <mc:AlternateContent xmlns:mc="http://schemas.openxmlformats.org/markup-compatibility/2006">
      <mc:Choice Requires="x14">
        <control shapeId="1049" r:id="rId10" name="ComboBox6">
          <controlPr defaultSize="0" autoLine="0" altText="Student Scholarships" linkedCell="B16" listFillRange="Scholarships" r:id="rId5">
            <anchor moveWithCells="1">
              <from>
                <xdr:col>1</xdr:col>
                <xdr:colOff>57150</xdr:colOff>
                <xdr:row>15</xdr:row>
                <xdr:rowOff>28575</xdr:rowOff>
              </from>
              <to>
                <xdr:col>4</xdr:col>
                <xdr:colOff>600075</xdr:colOff>
                <xdr:row>15</xdr:row>
                <xdr:rowOff>247650</xdr:rowOff>
              </to>
            </anchor>
          </controlPr>
        </control>
      </mc:Choice>
      <mc:Fallback>
        <control shapeId="1049" r:id="rId10" name="ComboBox6"/>
      </mc:Fallback>
    </mc:AlternateContent>
    <mc:AlternateContent xmlns:mc="http://schemas.openxmlformats.org/markup-compatibility/2006">
      <mc:Choice Requires="x14">
        <control shapeId="1047" r:id="rId11" name="Image1">
          <controlPr defaultSize="0" autoLine="0" autoPict="0" r:id="rId12">
            <anchor moveWithCells="1">
              <from>
                <xdr:col>5</xdr:col>
                <xdr:colOff>228600</xdr:colOff>
                <xdr:row>8</xdr:row>
                <xdr:rowOff>0</xdr:rowOff>
              </from>
              <to>
                <xdr:col>7</xdr:col>
                <xdr:colOff>400050</xdr:colOff>
                <xdr:row>14</xdr:row>
                <xdr:rowOff>85725</xdr:rowOff>
              </to>
            </anchor>
          </controlPr>
        </control>
      </mc:Choice>
      <mc:Fallback>
        <control shapeId="1047" r:id="rId11" name="Image1"/>
      </mc:Fallback>
    </mc:AlternateContent>
    <mc:AlternateContent xmlns:mc="http://schemas.openxmlformats.org/markup-compatibility/2006">
      <mc:Choice Requires="x14">
        <control shapeId="1038" r:id="rId13" name="Button 14">
          <controlPr defaultSize="0" print="0" autoFill="0" autoPict="0" macro="[0]!ThisWorkbook.getBio">
            <anchor moveWithCells="1" sizeWithCells="1">
              <from>
                <xdr:col>8</xdr:col>
                <xdr:colOff>38100</xdr:colOff>
                <xdr:row>3</xdr:row>
                <xdr:rowOff>28575</xdr:rowOff>
              </from>
              <to>
                <xdr:col>8</xdr:col>
                <xdr:colOff>942975</xdr:colOff>
                <xdr:row>4</xdr:row>
                <xdr:rowOff>142875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D20"/>
  <sheetViews>
    <sheetView workbookViewId="0">
      <selection activeCell="E32" sqref="E32:G32"/>
    </sheetView>
  </sheetViews>
  <sheetFormatPr defaultRowHeight="15" x14ac:dyDescent="0.25"/>
  <cols>
    <col min="1" max="1" width="2.5703125" customWidth="1"/>
    <col min="2" max="2" width="42.28515625" customWidth="1"/>
    <col min="3" max="3" width="21.28515625" customWidth="1"/>
  </cols>
  <sheetData>
    <row r="1" spans="1:4" ht="15.75" x14ac:dyDescent="0.25">
      <c r="A1" s="99" t="s">
        <v>36</v>
      </c>
      <c r="B1" s="100"/>
      <c r="C1" s="35" t="s">
        <v>31</v>
      </c>
      <c r="D1" s="34"/>
    </row>
    <row r="2" spans="1:4" x14ac:dyDescent="0.25">
      <c r="B2" s="38"/>
      <c r="C2" s="37"/>
    </row>
    <row r="3" spans="1:4" x14ac:dyDescent="0.25">
      <c r="B3" s="38"/>
      <c r="C3" s="37"/>
    </row>
    <row r="4" spans="1:4" x14ac:dyDescent="0.25">
      <c r="B4" s="38"/>
      <c r="C4" s="37"/>
    </row>
    <row r="5" spans="1:4" x14ac:dyDescent="0.25">
      <c r="B5" s="38"/>
      <c r="C5" s="37"/>
    </row>
    <row r="6" spans="1:4" x14ac:dyDescent="0.25">
      <c r="B6" s="38"/>
      <c r="C6" s="37"/>
    </row>
    <row r="7" spans="1:4" x14ac:dyDescent="0.25">
      <c r="B7" s="38"/>
      <c r="C7" s="37"/>
    </row>
    <row r="8" spans="1:4" x14ac:dyDescent="0.25">
      <c r="B8" s="38"/>
      <c r="C8" s="37"/>
    </row>
    <row r="9" spans="1:4" x14ac:dyDescent="0.25">
      <c r="B9" s="38"/>
      <c r="C9" s="37"/>
    </row>
    <row r="10" spans="1:4" x14ac:dyDescent="0.25">
      <c r="B10" s="38"/>
      <c r="C10" s="37"/>
    </row>
    <row r="11" spans="1:4" x14ac:dyDescent="0.25">
      <c r="B11" s="38"/>
      <c r="C11" s="37"/>
    </row>
    <row r="12" spans="1:4" x14ac:dyDescent="0.25">
      <c r="B12" s="38"/>
      <c r="C12" s="37"/>
    </row>
    <row r="13" spans="1:4" x14ac:dyDescent="0.25">
      <c r="B13" s="38"/>
      <c r="C13" s="37"/>
    </row>
    <row r="14" spans="1:4" x14ac:dyDescent="0.25">
      <c r="B14" s="38"/>
      <c r="C14" s="37"/>
    </row>
    <row r="15" spans="1:4" x14ac:dyDescent="0.25">
      <c r="B15" s="38"/>
      <c r="C15" s="37"/>
    </row>
    <row r="16" spans="1:4" x14ac:dyDescent="0.25">
      <c r="B16" s="38"/>
      <c r="C16" s="37"/>
    </row>
    <row r="17" spans="2:3" x14ac:dyDescent="0.25">
      <c r="B17" s="38"/>
      <c r="C17" s="37"/>
    </row>
    <row r="18" spans="2:3" x14ac:dyDescent="0.25">
      <c r="B18" s="38"/>
      <c r="C18" s="37"/>
    </row>
    <row r="19" spans="2:3" x14ac:dyDescent="0.25">
      <c r="B19" s="36"/>
      <c r="C19" s="37"/>
    </row>
    <row r="20" spans="2:3" ht="18" x14ac:dyDescent="0.25">
      <c r="B20" s="40" t="s">
        <v>27</v>
      </c>
      <c r="C20" s="39">
        <f>SUM(C2:C19)</f>
        <v>0</v>
      </c>
    </row>
  </sheetData>
  <mergeCells count="1">
    <mergeCell ref="A1:B1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2:A36"/>
  <sheetViews>
    <sheetView workbookViewId="0">
      <selection sqref="A1:A36"/>
    </sheetView>
  </sheetViews>
  <sheetFormatPr defaultRowHeight="15" x14ac:dyDescent="0.25"/>
  <cols>
    <col min="1" max="1" width="35.28515625" customWidth="1"/>
  </cols>
  <sheetData>
    <row r="2" spans="1:1" x14ac:dyDescent="0.25">
      <c r="A2" t="s">
        <v>42</v>
      </c>
    </row>
    <row r="3" spans="1:1" x14ac:dyDescent="0.25">
      <c r="A3" t="s">
        <v>4</v>
      </c>
    </row>
    <row r="4" spans="1:1" x14ac:dyDescent="0.25">
      <c r="A4" t="s">
        <v>43</v>
      </c>
    </row>
    <row r="5" spans="1:1" x14ac:dyDescent="0.25">
      <c r="A5" t="s">
        <v>44</v>
      </c>
    </row>
    <row r="6" spans="1:1" x14ac:dyDescent="0.25">
      <c r="A6" t="s">
        <v>5</v>
      </c>
    </row>
    <row r="7" spans="1:1" x14ac:dyDescent="0.25">
      <c r="A7" t="s">
        <v>7</v>
      </c>
    </row>
    <row r="8" spans="1:1" x14ac:dyDescent="0.25">
      <c r="A8" t="s">
        <v>6</v>
      </c>
    </row>
    <row r="9" spans="1:1" x14ac:dyDescent="0.25">
      <c r="A9" t="s">
        <v>8</v>
      </c>
    </row>
    <row r="10" spans="1:1" x14ac:dyDescent="0.25">
      <c r="A10" t="s">
        <v>9</v>
      </c>
    </row>
    <row r="11" spans="1:1" x14ac:dyDescent="0.25">
      <c r="A11" t="s">
        <v>10</v>
      </c>
    </row>
    <row r="12" spans="1:1" x14ac:dyDescent="0.25">
      <c r="A12" t="s">
        <v>11</v>
      </c>
    </row>
    <row r="13" spans="1:1" x14ac:dyDescent="0.25">
      <c r="A13" t="s">
        <v>12</v>
      </c>
    </row>
    <row r="14" spans="1:1" x14ac:dyDescent="0.25">
      <c r="A14" t="s">
        <v>13</v>
      </c>
    </row>
    <row r="15" spans="1:1" x14ac:dyDescent="0.25">
      <c r="A15" t="s">
        <v>45</v>
      </c>
    </row>
    <row r="16" spans="1:1" x14ac:dyDescent="0.25">
      <c r="A16" t="s">
        <v>46</v>
      </c>
    </row>
    <row r="17" spans="1:1" x14ac:dyDescent="0.25">
      <c r="A17" t="s">
        <v>47</v>
      </c>
    </row>
    <row r="18" spans="1:1" x14ac:dyDescent="0.25">
      <c r="A18" t="s">
        <v>48</v>
      </c>
    </row>
    <row r="19" spans="1:1" x14ac:dyDescent="0.25">
      <c r="A19" t="s">
        <v>49</v>
      </c>
    </row>
    <row r="20" spans="1:1" x14ac:dyDescent="0.25">
      <c r="A20" t="s">
        <v>14</v>
      </c>
    </row>
    <row r="21" spans="1:1" x14ac:dyDescent="0.25">
      <c r="A21" t="s">
        <v>15</v>
      </c>
    </row>
    <row r="22" spans="1:1" x14ac:dyDescent="0.25">
      <c r="A22" t="s">
        <v>50</v>
      </c>
    </row>
    <row r="23" spans="1:1" x14ac:dyDescent="0.25">
      <c r="A23" t="s">
        <v>51</v>
      </c>
    </row>
    <row r="24" spans="1:1" x14ac:dyDescent="0.25">
      <c r="A24" t="s">
        <v>16</v>
      </c>
    </row>
    <row r="25" spans="1:1" x14ac:dyDescent="0.25">
      <c r="A25" t="s">
        <v>52</v>
      </c>
    </row>
    <row r="26" spans="1:1" x14ac:dyDescent="0.25">
      <c r="A26" t="s">
        <v>53</v>
      </c>
    </row>
    <row r="27" spans="1:1" x14ac:dyDescent="0.25">
      <c r="A27" t="s">
        <v>54</v>
      </c>
    </row>
    <row r="28" spans="1:1" x14ac:dyDescent="0.25">
      <c r="A28" t="s">
        <v>17</v>
      </c>
    </row>
    <row r="29" spans="1:1" x14ac:dyDescent="0.25">
      <c r="A29" t="s">
        <v>55</v>
      </c>
    </row>
    <row r="30" spans="1:1" x14ac:dyDescent="0.25">
      <c r="A30" t="s">
        <v>18</v>
      </c>
    </row>
    <row r="31" spans="1:1" x14ac:dyDescent="0.25">
      <c r="A31" t="s">
        <v>56</v>
      </c>
    </row>
    <row r="32" spans="1:1" x14ac:dyDescent="0.25">
      <c r="A32" t="s">
        <v>57</v>
      </c>
    </row>
    <row r="33" spans="1:1" x14ac:dyDescent="0.25">
      <c r="A33" t="s">
        <v>19</v>
      </c>
    </row>
    <row r="34" spans="1:1" x14ac:dyDescent="0.25">
      <c r="A34" t="s">
        <v>20</v>
      </c>
    </row>
    <row r="35" spans="1:1" x14ac:dyDescent="0.25">
      <c r="A35" t="s">
        <v>21</v>
      </c>
    </row>
    <row r="36" spans="1:1" x14ac:dyDescent="0.25">
      <c r="A36" t="s">
        <v>22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fcEdit</vt:lpstr>
      <vt:lpstr>charges</vt:lpstr>
      <vt:lpstr>cnp</vt:lpstr>
      <vt:lpstr>cnp</vt:lpstr>
      <vt:lpstr>cnp_d</vt:lpstr>
      <vt:lpstr>finaid</vt:lpstr>
      <vt:lpstr>Scholarships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Administrator</cp:lastModifiedBy>
  <cp:lastPrinted>2021-07-14T14:07:57Z</cp:lastPrinted>
  <dcterms:created xsi:type="dcterms:W3CDTF">2015-07-30T06:27:24Z</dcterms:created>
  <dcterms:modified xsi:type="dcterms:W3CDTF">2023-05-21T22:26:53Z</dcterms:modified>
</cp:coreProperties>
</file>